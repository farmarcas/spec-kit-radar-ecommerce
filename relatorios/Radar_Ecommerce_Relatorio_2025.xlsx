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2025" state="visible" r:id="rId4"/>
    <sheet sheetId="2" name="Por Mes" state="visible" r:id="rId5"/>
    <sheet sheetId="3" name="Por Bandeira" state="visible" r:id="rId6"/>
    <sheet sheetId="4" name="Unidades por Departamento" state="visible" r:id="rId7"/>
  </sheets>
  <calcPr calcId="171027"/>
</workbook>
</file>

<file path=xl/sharedStrings.xml><?xml version="1.0" encoding="utf-8"?>
<sst xmlns="http://schemas.openxmlformats.org/spreadsheetml/2006/main" count="69" uniqueCount="63">
  <si>
    <t>Radar E-commerce - Resumo 2025</t>
  </si>
  <si>
    <t>Pedidos concluidos (Delivered/Withdrawn) - ano completo - gerado em 2026-09-17</t>
  </si>
  <si>
    <t>Metrica</t>
  </si>
  <si>
    <t>Valor</t>
  </si>
  <si>
    <t>Faturamento total</t>
  </si>
  <si>
    <t>Pedidos concluidos</t>
  </si>
  <si>
    <t>Unidades vendidas</t>
  </si>
  <si>
    <t>Notas / metodologia:</t>
  </si>
  <si>
    <t>Fonte: MongoDB edelivery_order.order_data (conexao Radar). Pedido concluido = status 'Delivered'/'Withdrawn', data de referencia = finished.triggeredAt (fuso America/Sao_Paulo). Faturamento = soma de unitPrice x amount dos itens (sem frete). Query oficial do indicador 'Vendas' do Portal, incluindo o filtro $expr: finished.previusStatus != status (exclui pedidos com evento 'finished' duplicado/sem mudanca real de status). Bandeira = pharmacy.pharmacyNetworkIdStr, nomeada via Postgres edelivery_pharmacy.pharmacy_network. Departamento = eAN do item cruzado com CatalogueDb.products.CodigoBarras -&gt; ProdutoDepartamentoId -&gt; CatalogueDb.products_departmenties.</t>
  </si>
  <si>
    <t>Radar E-commerce - Por Mes (2025)</t>
  </si>
  <si>
    <t>Mes</t>
  </si>
  <si>
    <t>Faturamento</t>
  </si>
  <si>
    <t>Pedidos</t>
  </si>
  <si>
    <t>Unidades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</si>
  <si>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</si>
  <si>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</si>
  <si>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</si>
  <si>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</si>
  <si>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</si>
  <si>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</si>
  <si>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</si>
  <si>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</si>
  <si>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</si>
  <si>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</si>
  <si>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</si>
  <si>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</si>
  <si>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</si>
  <si>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Radar E-commerce - Por Bandeira/Rede (2025)</t>
  </si>
  <si>
    <t>Rede / Bandeira</t>
  </si>
  <si>
    <t>ULTRA POPULAR</t>
  </si>
  <si>
    <t>MAXI POPULAR</t>
  </si>
  <si>
    <t>SUPER POPULAR</t>
  </si>
  <si>
    <t>ENTREFARMA</t>
  </si>
  <si>
    <t>BIGFORT</t>
  </si>
  <si>
    <t>MEGA POPULAR</t>
  </si>
  <si>
    <t>MAIS FARMA</t>
  </si>
  <si>
    <t>ACFARMA</t>
  </si>
  <si>
    <t>MAESTRA</t>
  </si>
  <si>
    <t>FARMA 100</t>
  </si>
  <si>
    <t>FARMAVALE</t>
  </si>
  <si>
    <t>MEGA PHARMA</t>
  </si>
  <si>
    <t>Radar E-commerce - Unidades vendidas por Departamento (2025)</t>
  </si>
  <si>
    <t>Departamento</t>
  </si>
  <si>
    <t>% do total</t>
  </si>
  <si>
    <t>% acumulado</t>
  </si>
  <si>
    <t>Medicamentos</t>
  </si>
  <si>
    <t>Higiene e beleza</t>
  </si>
  <si>
    <t>Mamae e Bebe</t>
  </si>
  <si>
    <t>Farmacinha</t>
  </si>
  <si>
    <t>Infantil</t>
  </si>
  <si>
    <t>Cuidados pessoais</t>
  </si>
  <si>
    <t>Nutricao e alimentos</t>
  </si>
  <si>
    <t>Suplementos Alimentares</t>
  </si>
  <si>
    <t>Conveniencia</t>
  </si>
  <si>
    <t>Dermocosmeticos</t>
  </si>
  <si>
    <t>Cosmeticos</t>
  </si>
  <si>
    <t>Saude Sexual</t>
  </si>
  <si>
    <t>Cuidados Masculinos</t>
  </si>
  <si>
    <t>Sem departamento cadastrado</t>
  </si>
  <si>
    <t>Outros (legado)</t>
  </si>
  <si>
    <t>EAN nao encontrado no catalogo</t>
  </si>
  <si>
    <t/>
  </si>
  <si>
    <t>Departamento identificado via CatalogueDb.products (EAN=CodigoBarras) -&gt; ProdutoDepartamentoId. 'Higiene e beleza' e 'Medicamentos' aparecem como inativos no cadastro atual do catalogo, mas ainda concentram grande parte dos produtos vendidos (ids legados ainda referenciados).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</si>
</sst>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7" x14ac:knownFonts="1">
    <font>
      <color theme="1"/>
      <family val="2"/>
      <scheme val="minor"/>
      <sz val="11"/>
      <name val="Calibri"/>
    </font>
    <font>
      <b/>
      <color rgb="FF1F4E78"/>
      <sz val="14"/>
      <name val="Arial"/>
    </font>
    <font>
      <i/>
      <color rgb="FF666666"/>
      <sz val="9"/>
      <name val="Arial"/>
    </font>
    <font>
      <b/>
      <color rgb="FFFFFFFF"/>
      <sz val="11"/>
      <name val="Arial"/>
    </font>
    <font>
      <b/>
      <name val="Arial"/>
    </font>
    <font>
      <name val="Arial"/>
    </font>
    <font>
      <i/>
      <color rgb="FF808080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0" fontId="4" fillId="0" borderId="0" xfId="0" applyFont="1"/>
    <xf numFmtId="0" fontId="6" fillId="0" borderId="0" xfId="0" applyFont="1" applyAlignment="1">
      <alignment vertical="top" wrapText="1"/>
    </xf>
    <xf numFmtId="0" fontId="5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3" fontId="4" fillId="3" borderId="1" xfId="0" applyNumberFormat="1" applyFont="1" applyFill="1" applyBorder="1"/>
    <xf numFmtId="10" fontId="5" fillId="0" borderId="1" xfId="0" applyNumberFormat="1" applyFont="1" applyBorder="1"/>
    <xf numFmtId="10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>
        <f>'Por Mes'!B16</f>
      </c>
    </row>
    <row r="6" spans="1:2" x14ac:dyDescent="0.25">
      <c r="A6" s="4" t="s">
        <v>5</v>
      </c>
      <c r="B6" s="6">
        <f>'Por Mes'!C16</f>
      </c>
    </row>
    <row r="7" spans="1:2" x14ac:dyDescent="0.25">
      <c r="A7" s="4" t="s">
        <v>6</v>
      </c>
      <c r="B7" s="6">
        <f>'Por Mes'!D16</f>
      </c>
    </row>
    <row r="9" spans="1:1" x14ac:dyDescent="0.25">
      <c r="A9" s="7" t="s">
        <v>7</v>
      </c>
    </row>
    <row r="10" spans="1:2" x14ac:dyDescent="0.25">
      <c r="A10" s="8" t="s">
        <v>8</v>
      </c>
      <c r="B10" s="8"/>
    </row>
    <row r="11" spans="1:2" x14ac:dyDescent="0.25">
      <c r="A11" s="8"/>
      <c r="B11" s="8"/>
    </row>
    <row r="12" spans="1:2" x14ac:dyDescent="0.25">
      <c r="A12" s="8"/>
      <c r="B12" s="8"/>
    </row>
    <row r="13" spans="1:2" x14ac:dyDescent="0.25">
      <c r="A13" s="8"/>
      <c r="B13" s="8"/>
    </row>
  </sheetData>
  <mergeCells count="3">
    <mergeCell ref="A1:B1"/>
    <mergeCell ref="A2:B2"/>
    <mergeCell ref="A10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14" customWidth="1"/>
  </cols>
  <sheetData>
    <row r="1" spans="1:4" x14ac:dyDescent="0.25">
      <c r="A1" s="1" t="s">
        <v>9</v>
      </c>
      <c r="B1" s="1"/>
      <c r="C1" s="1"/>
      <c r="D1" s="1"/>
    </row>
    <row r="3" spans="1:4" x14ac:dyDescent="0.25">
      <c r="A3" s="3" t="s">
        <v>10</v>
      </c>
      <c r="B3" s="3" t="s">
        <v>11</v>
      </c>
      <c r="C3" s="3" t="s">
        <v>12</v>
      </c>
      <c r="D3" s="3" t="s">
        <v>13</v>
      </c>
    </row>
    <row r="4" spans="1:4" x14ac:dyDescent="0.25">
      <c r="A4" s="9" t="s">
        <v>14</v>
      </c>
      <c r="B4" s="5">
        <v>388094.1</v>
      </c>
      <c r="C4" s="6">
        <v>6173</v>
      </c>
      <c r="D4" s="6">
        <v>15903</v>
      </c>
    </row>
    <row r="5" spans="1:4" x14ac:dyDescent="0.25">
      <c r="A5" s="9" t="s">
        <v>15</v>
      </c>
      <c r="B5" s="5">
        <v>356488.76</v>
      </c>
      <c r="C5" s="6">
        <v>5603</v>
      </c>
      <c r="D5" s="6">
        <v>15341</v>
      </c>
    </row>
    <row r="6" spans="1:4" x14ac:dyDescent="0.25">
      <c r="A6" s="9" t="s">
        <v>16</v>
      </c>
      <c r="B6" s="5">
        <v>423361.78</v>
      </c>
      <c r="C6" s="6">
        <v>6527</v>
      </c>
      <c r="D6" s="6">
        <v>17514</v>
      </c>
    </row>
    <row r="7" spans="1:4" x14ac:dyDescent="0.25">
      <c r="A7" s="9" t="s">
        <v>17</v>
      </c>
      <c r="B7" s="5">
        <v>410044.72</v>
      </c>
      <c r="C7" s="6">
        <v>6150</v>
      </c>
      <c r="D7" s="6">
        <v>16584</v>
      </c>
    </row>
    <row r="8" spans="1:4" x14ac:dyDescent="0.25">
      <c r="A8" s="9" t="s">
        <v>18</v>
      </c>
      <c r="B8" s="5">
        <v>412710.02</v>
      </c>
      <c r="C8" s="6">
        <v>6437</v>
      </c>
      <c r="D8" s="6">
        <v>17057</v>
      </c>
    </row>
    <row r="9" spans="1:4" x14ac:dyDescent="0.25">
      <c r="A9" s="9" t="s">
        <v>19</v>
      </c>
      <c r="B9" s="5">
        <v>372793.73</v>
      </c>
      <c r="C9" s="6">
        <v>5656</v>
      </c>
      <c r="D9" s="6">
        <v>15261</v>
      </c>
    </row>
    <row r="10" spans="1:4" x14ac:dyDescent="0.25">
      <c r="A10" s="9" t="s">
        <v>20</v>
      </c>
      <c r="B10" s="5">
        <v>374981.58</v>
      </c>
      <c r="C10" s="6">
        <v>5892</v>
      </c>
      <c r="D10" s="6">
        <v>15494</v>
      </c>
    </row>
    <row r="11" spans="1:4" x14ac:dyDescent="0.25">
      <c r="A11" s="9" t="s">
        <v>21</v>
      </c>
      <c r="B11" s="5">
        <v>354557.74</v>
      </c>
      <c r="C11" s="6">
        <v>5349</v>
      </c>
      <c r="D11" s="6">
        <v>14096</v>
      </c>
    </row>
    <row r="12" spans="1:4" x14ac:dyDescent="0.25">
      <c r="A12" s="9" t="s">
        <v>22</v>
      </c>
      <c r="B12" s="5">
        <v>345343.16</v>
      </c>
      <c r="C12" s="6">
        <v>5246</v>
      </c>
      <c r="D12" s="6">
        <v>14100</v>
      </c>
    </row>
    <row r="13" spans="1:4" x14ac:dyDescent="0.25">
      <c r="A13" s="9" t="s">
        <v>23</v>
      </c>
      <c r="B13" s="5">
        <v>342215.19</v>
      </c>
      <c r="C13" s="6">
        <v>5210</v>
      </c>
      <c r="D13" s="6">
        <v>13916</v>
      </c>
    </row>
    <row r="14" spans="1:4" x14ac:dyDescent="0.25">
      <c r="A14" s="9" t="s">
        <v>24</v>
      </c>
      <c r="B14" s="5">
        <v>360417.16</v>
      </c>
      <c r="C14" s="6">
        <v>5287</v>
      </c>
      <c r="D14" s="6">
        <v>14188</v>
      </c>
    </row>
    <row r="15" spans="1:4" x14ac:dyDescent="0.25">
      <c r="A15" s="9" t="s">
        <v>25</v>
      </c>
      <c r="B15" s="5">
        <v>358523.09</v>
      </c>
      <c r="C15" s="6">
        <v>5450</v>
      </c>
      <c r="D15" s="6">
        <v>14755</v>
      </c>
    </row>
    <row r="16" spans="1:4" x14ac:dyDescent="0.25">
      <c r="A16" s="10" t="s">
        <v>26</v>
      </c>
      <c r="B16" s="11">
        <f>SUM(B4:B15)</f>
      </c>
      <c r="C16" s="12">
        <f>SUM(C4:C15)</f>
      </c>
      <c r="D16" s="12">
        <f>SUM(D4:D15)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14" customWidth="1"/>
  </cols>
  <sheetData>
    <row r="1" spans="1:4" x14ac:dyDescent="0.25">
      <c r="A1" s="1" t="s">
        <v>27</v>
      </c>
      <c r="B1" s="1"/>
      <c r="C1" s="1"/>
      <c r="D1" s="1"/>
    </row>
    <row r="3" spans="1:4" x14ac:dyDescent="0.25">
      <c r="A3" s="3" t="s">
        <v>28</v>
      </c>
      <c r="B3" s="3" t="s">
        <v>11</v>
      </c>
      <c r="C3" s="3" t="s">
        <v>12</v>
      </c>
      <c r="D3" s="3" t="s">
        <v>13</v>
      </c>
    </row>
    <row r="4" spans="1:4" x14ac:dyDescent="0.25">
      <c r="A4" s="9" t="s">
        <v>29</v>
      </c>
      <c r="B4" s="5">
        <v>3428888.76</v>
      </c>
      <c r="C4" s="6">
        <v>52745</v>
      </c>
      <c r="D4" s="6">
        <v>141373</v>
      </c>
    </row>
    <row r="5" spans="1:4" x14ac:dyDescent="0.25">
      <c r="A5" s="9" t="s">
        <v>30</v>
      </c>
      <c r="B5" s="5">
        <v>497702.4</v>
      </c>
      <c r="C5" s="6">
        <v>6796</v>
      </c>
      <c r="D5" s="6">
        <v>18892</v>
      </c>
    </row>
    <row r="6" spans="1:4" x14ac:dyDescent="0.25">
      <c r="A6" s="9" t="s">
        <v>31</v>
      </c>
      <c r="B6" s="5">
        <v>177565.72</v>
      </c>
      <c r="C6" s="6">
        <v>2780</v>
      </c>
      <c r="D6" s="6">
        <v>7078</v>
      </c>
    </row>
    <row r="7" spans="1:4" x14ac:dyDescent="0.25">
      <c r="A7" s="9" t="s">
        <v>32</v>
      </c>
      <c r="B7" s="5">
        <v>117419.58</v>
      </c>
      <c r="C7" s="6">
        <v>1690</v>
      </c>
      <c r="D7" s="6">
        <v>4461</v>
      </c>
    </row>
    <row r="8" spans="1:4" x14ac:dyDescent="0.25">
      <c r="A8" s="9" t="s">
        <v>33</v>
      </c>
      <c r="B8" s="5">
        <v>75579.87</v>
      </c>
      <c r="C8" s="6">
        <v>1481</v>
      </c>
      <c r="D8" s="6">
        <v>3748</v>
      </c>
    </row>
    <row r="9" spans="1:4" x14ac:dyDescent="0.25">
      <c r="A9" s="9" t="s">
        <v>34</v>
      </c>
      <c r="B9" s="5">
        <v>56396.97</v>
      </c>
      <c r="C9" s="6">
        <v>938</v>
      </c>
      <c r="D9" s="6">
        <v>2486</v>
      </c>
    </row>
    <row r="10" spans="1:4" x14ac:dyDescent="0.25">
      <c r="A10" s="9" t="s">
        <v>35</v>
      </c>
      <c r="B10" s="5">
        <v>47550.08</v>
      </c>
      <c r="C10" s="6">
        <v>1028</v>
      </c>
      <c r="D10" s="6">
        <v>2483</v>
      </c>
    </row>
    <row r="11" spans="1:4" x14ac:dyDescent="0.25">
      <c r="A11" s="9" t="s">
        <v>36</v>
      </c>
      <c r="B11" s="5">
        <v>44557.9</v>
      </c>
      <c r="C11" s="6">
        <v>594</v>
      </c>
      <c r="D11" s="6">
        <v>1515</v>
      </c>
    </row>
    <row r="12" spans="1:4" x14ac:dyDescent="0.25">
      <c r="A12" s="9" t="s">
        <v>37</v>
      </c>
      <c r="B12" s="5">
        <v>30508.05</v>
      </c>
      <c r="C12" s="6">
        <v>362</v>
      </c>
      <c r="D12" s="6">
        <v>1004</v>
      </c>
    </row>
    <row r="13" spans="1:4" x14ac:dyDescent="0.25">
      <c r="A13" s="9" t="s">
        <v>38</v>
      </c>
      <c r="B13" s="5">
        <v>16285.78</v>
      </c>
      <c r="C13" s="6">
        <v>378</v>
      </c>
      <c r="D13" s="6">
        <v>853</v>
      </c>
    </row>
    <row r="14" spans="1:4" x14ac:dyDescent="0.25">
      <c r="A14" s="9" t="s">
        <v>39</v>
      </c>
      <c r="B14" s="5">
        <v>7017.42</v>
      </c>
      <c r="C14" s="6">
        <v>186</v>
      </c>
      <c r="D14" s="6">
        <v>314</v>
      </c>
    </row>
    <row r="15" spans="1:4" x14ac:dyDescent="0.25">
      <c r="A15" s="9" t="s">
        <v>40</v>
      </c>
      <c r="B15" s="5">
        <v>58.49</v>
      </c>
      <c r="C15" s="6">
        <v>2</v>
      </c>
      <c r="D15" s="6">
        <v>2</v>
      </c>
    </row>
    <row r="16" spans="1:4" x14ac:dyDescent="0.25">
      <c r="A16" s="10" t="s">
        <v>26</v>
      </c>
      <c r="B16" s="11">
        <f>SUM(B4:B15)</f>
      </c>
      <c r="C16" s="12">
        <f>SUM(C4:C15)</f>
      </c>
      <c r="D16" s="12">
        <f>SUM(D4:D15)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12" customWidth="1"/>
    <col min="4" max="4" width="14" customWidth="1"/>
  </cols>
  <sheetData>
    <row r="1" spans="1:4" x14ac:dyDescent="0.25">
      <c r="A1" s="1" t="s">
        <v>41</v>
      </c>
      <c r="B1" s="1"/>
      <c r="C1" s="1"/>
      <c r="D1" s="1"/>
    </row>
    <row r="3" spans="1:4" x14ac:dyDescent="0.25">
      <c r="A3" s="3" t="s">
        <v>42</v>
      </c>
      <c r="B3" s="3" t="s">
        <v>13</v>
      </c>
      <c r="C3" s="3" t="s">
        <v>43</v>
      </c>
      <c r="D3" s="3" t="s">
        <v>44</v>
      </c>
    </row>
    <row r="4" spans="1:4" x14ac:dyDescent="0.25">
      <c r="A4" s="9" t="s">
        <v>45</v>
      </c>
      <c r="B4" s="6">
        <v>38147</v>
      </c>
      <c r="C4" s="13">
        <f>B4/SUM($B$4:$B$19)</f>
      </c>
      <c r="D4" s="13">
        <f>SUM($C$4:C4)</f>
      </c>
    </row>
    <row r="5" spans="1:4" x14ac:dyDescent="0.25">
      <c r="A5" s="9" t="s">
        <v>46</v>
      </c>
      <c r="B5" s="6">
        <v>36088</v>
      </c>
      <c r="C5" s="13">
        <f>B5/SUM($B$4:$B$19)</f>
      </c>
      <c r="D5" s="13">
        <f>SUM($C$4:C5)</f>
      </c>
    </row>
    <row r="6" spans="1:4" x14ac:dyDescent="0.25">
      <c r="A6" s="9" t="s">
        <v>47</v>
      </c>
      <c r="B6" s="6">
        <v>34639</v>
      </c>
      <c r="C6" s="13">
        <f>B6/SUM($B$4:$B$19)</f>
      </c>
      <c r="D6" s="13">
        <f>SUM($C$4:C6)</f>
      </c>
    </row>
    <row r="7" spans="1:4" x14ac:dyDescent="0.25">
      <c r="A7" s="9" t="s">
        <v>48</v>
      </c>
      <c r="B7" s="6">
        <v>32091</v>
      </c>
      <c r="C7" s="13">
        <f>B7/SUM($B$4:$B$19)</f>
      </c>
      <c r="D7" s="13">
        <f>SUM($C$4:C7)</f>
      </c>
    </row>
    <row r="8" spans="1:4" x14ac:dyDescent="0.25">
      <c r="A8" s="9" t="s">
        <v>49</v>
      </c>
      <c r="B8" s="6">
        <v>10243</v>
      </c>
      <c r="C8" s="13">
        <f>B8/SUM($B$4:$B$19)</f>
      </c>
      <c r="D8" s="13">
        <f>SUM($C$4:C8)</f>
      </c>
    </row>
    <row r="9" spans="1:4" x14ac:dyDescent="0.25">
      <c r="A9" s="9" t="s">
        <v>50</v>
      </c>
      <c r="B9" s="6">
        <v>10227</v>
      </c>
      <c r="C9" s="13">
        <f>B9/SUM($B$4:$B$19)</f>
      </c>
      <c r="D9" s="13">
        <f>SUM($C$4:C9)</f>
      </c>
    </row>
    <row r="10" spans="1:4" x14ac:dyDescent="0.25">
      <c r="A10" s="9" t="s">
        <v>51</v>
      </c>
      <c r="B10" s="6">
        <v>5271</v>
      </c>
      <c r="C10" s="13">
        <f>B10/SUM($B$4:$B$19)</f>
      </c>
      <c r="D10" s="13">
        <f>SUM($C$4:C10)</f>
      </c>
    </row>
    <row r="11" spans="1:4" x14ac:dyDescent="0.25">
      <c r="A11" s="9" t="s">
        <v>52</v>
      </c>
      <c r="B11" s="6">
        <v>4303</v>
      </c>
      <c r="C11" s="13">
        <f>B11/SUM($B$4:$B$19)</f>
      </c>
      <c r="D11" s="13">
        <f>SUM($C$4:C11)</f>
      </c>
    </row>
    <row r="12" spans="1:4" x14ac:dyDescent="0.25">
      <c r="A12" s="9" t="s">
        <v>53</v>
      </c>
      <c r="B12" s="6">
        <v>3740</v>
      </c>
      <c r="C12" s="13">
        <f>B12/SUM($B$4:$B$19)</f>
      </c>
      <c r="D12" s="13">
        <f>SUM($C$4:C12)</f>
      </c>
    </row>
    <row r="13" spans="1:4" x14ac:dyDescent="0.25">
      <c r="A13" s="9" t="s">
        <v>54</v>
      </c>
      <c r="B13" s="6">
        <v>3358</v>
      </c>
      <c r="C13" s="13">
        <f>B13/SUM($B$4:$B$19)</f>
      </c>
      <c r="D13" s="13">
        <f>SUM($C$4:C13)</f>
      </c>
    </row>
    <row r="14" spans="1:4" x14ac:dyDescent="0.25">
      <c r="A14" s="9" t="s">
        <v>55</v>
      </c>
      <c r="B14" s="6">
        <v>2260</v>
      </c>
      <c r="C14" s="13">
        <f>B14/SUM($B$4:$B$19)</f>
      </c>
      <c r="D14" s="13">
        <f>SUM($C$4:C14)</f>
      </c>
    </row>
    <row r="15" spans="1:4" x14ac:dyDescent="0.25">
      <c r="A15" s="9" t="s">
        <v>56</v>
      </c>
      <c r="B15" s="6">
        <v>1559</v>
      </c>
      <c r="C15" s="13">
        <f>B15/SUM($B$4:$B$19)</f>
      </c>
      <c r="D15" s="13">
        <f>SUM($C$4:C15)</f>
      </c>
    </row>
    <row r="16" spans="1:4" x14ac:dyDescent="0.25">
      <c r="A16" s="9" t="s">
        <v>57</v>
      </c>
      <c r="B16" s="6">
        <v>978</v>
      </c>
      <c r="C16" s="13">
        <f>B16/SUM($B$4:$B$19)</f>
      </c>
      <c r="D16" s="13">
        <f>SUM($C$4:C16)</f>
      </c>
    </row>
    <row r="17" spans="1:4" x14ac:dyDescent="0.25">
      <c r="A17" s="9" t="s">
        <v>58</v>
      </c>
      <c r="B17" s="6">
        <v>800</v>
      </c>
      <c r="C17" s="13">
        <f>B17/SUM($B$4:$B$19)</f>
      </c>
      <c r="D17" s="13">
        <f>SUM($C$4:C17)</f>
      </c>
    </row>
    <row r="18" spans="1:4" x14ac:dyDescent="0.25">
      <c r="A18" s="9" t="s">
        <v>59</v>
      </c>
      <c r="B18" s="6">
        <v>476</v>
      </c>
      <c r="C18" s="13">
        <f>B18/SUM($B$4:$B$19)</f>
      </c>
      <c r="D18" s="13">
        <f>SUM($C$4:C18)</f>
      </c>
    </row>
    <row r="19" spans="1:4" x14ac:dyDescent="0.25">
      <c r="A19" s="9" t="s">
        <v>60</v>
      </c>
      <c r="B19" s="6">
        <v>29</v>
      </c>
      <c r="C19" s="13">
        <f>B19/SUM($B$4:$B$19)</f>
      </c>
      <c r="D19" s="13">
        <f>SUM($C$4:C19)</f>
      </c>
    </row>
    <row r="20" spans="1:4" x14ac:dyDescent="0.25">
      <c r="A20" s="10" t="s">
        <v>26</v>
      </c>
      <c r="B20" s="12">
        <f>SUM(B4:B19)</f>
      </c>
      <c r="C20" s="14">
        <f>SUM(C4:C19)</f>
      </c>
      <c r="D20" s="14" t="s">
        <v>61</v>
      </c>
    </row>
    <row r="22" spans="1:4" x14ac:dyDescent="0.25">
      <c r="A22" s="8" t="s">
        <v>62</v>
      </c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</sheetData>
  <mergeCells count="2">
    <mergeCell ref="A1:D1"/>
    <mergeCell ref="A22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2025</vt:lpstr>
      <vt:lpstr>Por Mes</vt:lpstr>
      <vt:lpstr>Por Bandeira</vt:lpstr>
      <vt:lpstr>Unidades por Departamento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 E-commerce BI</dc:creator>
  <dc:title/>
  <dc:subject/>
  <dc:description/>
  <cp:keywords/>
  <cp:category/>
  <cp:lastModifiedBy>Unknown</cp:lastModifiedBy>
  <dcterms:created xsi:type="dcterms:W3CDTF">2026-09-17T19:42:09Z</dcterms:created>
  <dcterms:modified xsi:type="dcterms:W3CDTF">2026-09-17T19:42:09Z</dcterms:modified>
</cp:coreProperties>
</file>