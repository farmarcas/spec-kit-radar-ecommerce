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5F38788C-BEBF-4D81-81AF-2462C6CADB09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Resumo 2024" sheetId="1" r:id="rId1"/>
    <sheet name="Por Mes" sheetId="2" r:id="rId2"/>
    <sheet name="Por Bandeira" sheetId="3" r:id="rId3"/>
    <sheet name="Unidades por Departament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4" l="1"/>
  <c r="C19" i="4"/>
  <c r="C18" i="4"/>
  <c r="C20" i="4" s="1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D16" i="3"/>
  <c r="C16" i="3"/>
  <c r="B16" i="3"/>
  <c r="D16" i="2"/>
  <c r="C16" i="2"/>
  <c r="B16" i="2"/>
  <c r="B7" i="1"/>
  <c r="B6" i="1"/>
  <c r="B5" i="1"/>
</calcChain>
</file>

<file path=xl/sharedStrings.xml><?xml version="1.0" encoding="utf-8"?>
<sst xmlns="http://schemas.openxmlformats.org/spreadsheetml/2006/main" count="67" uniqueCount="61">
  <si>
    <t>Radar E-commerce - Resumo 2024</t>
  </si>
  <si>
    <t>Pedidos concluidos (Delivered/Withdrawn) - gerado em 2026-09-17</t>
  </si>
  <si>
    <t>Metrica</t>
  </si>
  <si>
    <t>Valor</t>
  </si>
  <si>
    <t>Faturamento total</t>
  </si>
  <si>
    <t>Pedidos concluidos</t>
  </si>
  <si>
    <t>Unidades vendidas</t>
  </si>
  <si>
    <t>Notas / metodologia:</t>
  </si>
  <si>
    <t>Fonte: MongoDB edelivery_order.order_data (conexao Radar). Pedido concluido = status 'Delivered'/'Withdrawn', data de referencia = finished.triggeredAt (fuso America/Sao_Paulo). Faturamento = soma de unitPrice x amount dos itens (sem frete). Query oficial do indicador 'Vendas' do Portal, incluindo o filtro $expr: finished.previusStatus != status (exclui pedidos com evento 'finished' duplicado/sem mudanca real de status - vigente a partir de 05/12/2024). Bandeira = pharmacy.pharmacyNetworkIdStr, nomeada via Postgres edelivery_pharmacy.pharmacy_network. Departamento = eAN do item cruzado com CatalogueDb.products.CodigoBarras -&gt; ProdutoDepartamentoId -&gt; CatalogueDb.products_departmenties.</t>
  </si>
  <si>
    <t>Radar E-commerce - Por Mes (2024)</t>
  </si>
  <si>
    <t>Mes</t>
  </si>
  <si>
    <t>Faturamento</t>
  </si>
  <si>
    <t>Pedidos</t>
  </si>
  <si>
    <t>Unidades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</si>
  <si>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</si>
  <si>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</si>
  <si>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</si>
  <si>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</si>
  <si>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</si>
  <si>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</si>
  <si>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</si>
  <si>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</si>
  <si>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</si>
  <si>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</si>
  <si>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</si>
  <si>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</si>
  <si>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</t>
  </si>
  <si>
    <t>Radar E-commerce - Por Bandeira/Rede (2024)</t>
  </si>
  <si>
    <t>Rede / Bandeira</t>
  </si>
  <si>
    <t>ULTRA POPULAR</t>
  </si>
  <si>
    <t>MAXI POPULAR</t>
  </si>
  <si>
    <t>BIGFORT</t>
  </si>
  <si>
    <t>ENTREFARMA</t>
  </si>
  <si>
    <t>ACFARMA</t>
  </si>
  <si>
    <t>SUPER POPULAR</t>
  </si>
  <si>
    <t>MAESTRA</t>
  </si>
  <si>
    <t>MEGA POPULAR</t>
  </si>
  <si>
    <t>MAIS FARMA</t>
  </si>
  <si>
    <t>FARMAVALE</t>
  </si>
  <si>
    <t>FARMA 100</t>
  </si>
  <si>
    <t>MEGA PHARMA</t>
  </si>
  <si>
    <t>Radar E-commerce - Unidades vendidas por Departamento (2024)</t>
  </si>
  <si>
    <t>Departamento</t>
  </si>
  <si>
    <t>% do total</t>
  </si>
  <si>
    <t>Higiene e beleza</t>
  </si>
  <si>
    <t>Mamae e Bebe</t>
  </si>
  <si>
    <t>Medicamentos</t>
  </si>
  <si>
    <t>Farmacinha</t>
  </si>
  <si>
    <t>Infantil</t>
  </si>
  <si>
    <t>Cuidados pessoais</t>
  </si>
  <si>
    <t>Conveniencia</t>
  </si>
  <si>
    <t>Nutricao e alimentos</t>
  </si>
  <si>
    <t>Suplementos Alimentares</t>
  </si>
  <si>
    <t>Dermocosmeticos</t>
  </si>
  <si>
    <t>Cosmeticos</t>
  </si>
  <si>
    <t>Saude Sexual</t>
  </si>
  <si>
    <t>Cuidados Masculinos</t>
  </si>
  <si>
    <t>Sem departamento cadastrado</t>
  </si>
  <si>
    <t>Outros (legado)</t>
  </si>
  <si>
    <t>EAN nao encontrado no catalogo</t>
  </si>
  <si>
    <t>Departamento identificado via CatalogueDb.products (EAN=CodigoBarras) -&gt; ProdutoDepartamentoId. 'Higiene e beleza' e 'Medicamentos' aparecem como inativos no cadastro atual do catalogo, mas ainda concentram grande parte dos produtos vendidos (ids legados ainda referenciados).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</si>
</sst>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7" x14ac:knownFonts="1">
    <font>
      <sz val="11"/>
      <color theme="1"/>
      <name val="Calibri"/>
      <family val="2"/>
      <scheme val="minor"/>
    </font>
    <font>
      <b/>
      <sz val="14"/>
      <color rgb="FF1F4E78"/>
      <name val="Arial"/>
    </font>
    <font>
      <i/>
      <sz val="9"/>
      <color rgb="FF666666"/>
      <name val="Arial"/>
    </font>
    <font>
      <b/>
      <sz val="11"/>
      <color rgb="FFFFFFFF"/>
      <name val="Arial"/>
    </font>
    <font>
      <b/>
      <sz val="11"/>
      <name val="Arial"/>
    </font>
    <font>
      <sz val="11"/>
      <name val="Arial"/>
    </font>
    <font>
      <i/>
      <sz val="9"/>
      <color rgb="FF80808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164" fontId="5" fillId="0" borderId="1" xfId="0" applyNumberFormat="1" applyFont="1" applyBorder="1"/>
    <xf numFmtId="3" fontId="5" fillId="0" borderId="1" xfId="0" applyNumberFormat="1" applyFont="1" applyBorder="1"/>
    <xf numFmtId="0" fontId="4" fillId="0" borderId="0" xfId="0" applyFont="1"/>
    <xf numFmtId="0" fontId="5" fillId="0" borderId="1" xfId="0" applyFont="1" applyBorder="1"/>
    <xf numFmtId="0" fontId="4" fillId="3" borderId="1" xfId="0" applyFont="1" applyFill="1" applyBorder="1"/>
    <xf numFmtId="164" fontId="4" fillId="3" borderId="1" xfId="0" applyNumberFormat="1" applyFont="1" applyFill="1" applyBorder="1"/>
    <xf numFmtId="3" fontId="4" fillId="3" borderId="1" xfId="0" applyNumberFormat="1" applyFont="1" applyFill="1" applyBorder="1"/>
    <xf numFmtId="10" fontId="5" fillId="0" borderId="1" xfId="0" applyNumberFormat="1" applyFont="1" applyBorder="1"/>
    <xf numFmtId="10" fontId="4" fillId="3" borderId="1" xfId="0" applyNumberFormat="1" applyFont="1" applyFill="1" applyBorder="1"/>
    <xf numFmtId="0" fontId="1" fillId="0" borderId="0" xfId="0" applyFont="1"/>
    <xf numFmtId="0" fontId="2" fillId="0" borderId="0" xfId="0" applyFont="1"/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sqref="A1:B1"/>
    </sheetView>
  </sheetViews>
  <sheetFormatPr defaultRowHeight="14.5" x14ac:dyDescent="0.35"/>
  <cols>
    <col min="1" max="1" width="28" customWidth="1"/>
    <col min="2" max="2" width="40" customWidth="1"/>
  </cols>
  <sheetData>
    <row r="1" spans="1:2" ht="18" x14ac:dyDescent="0.4">
      <c r="A1" s="12" t="s">
        <v>0</v>
      </c>
      <c r="B1" s="12"/>
    </row>
    <row r="2" spans="1:2" x14ac:dyDescent="0.35">
      <c r="A2" s="13" t="s">
        <v>1</v>
      </c>
      <c r="B2" s="13"/>
    </row>
    <row r="4" spans="1:2" x14ac:dyDescent="0.35">
      <c r="A4" s="1" t="s">
        <v>2</v>
      </c>
      <c r="B4" s="1" t="s">
        <v>3</v>
      </c>
    </row>
    <row r="5" spans="1:2" x14ac:dyDescent="0.35">
      <c r="A5" s="2" t="s">
        <v>4</v>
      </c>
      <c r="B5" s="3">
        <f>'Por Mes'!B16</f>
        <v>2670018.02</v>
      </c>
    </row>
    <row r="6" spans="1:2" x14ac:dyDescent="0.35">
      <c r="A6" s="2" t="s">
        <v>5</v>
      </c>
      <c r="B6" s="4">
        <f>'Por Mes'!C16</f>
        <v>39435</v>
      </c>
    </row>
    <row r="7" spans="1:2" x14ac:dyDescent="0.35">
      <c r="A7" s="2" t="s">
        <v>6</v>
      </c>
      <c r="B7" s="4">
        <f>'Por Mes'!D16</f>
        <v>104433</v>
      </c>
    </row>
    <row r="9" spans="1:2" x14ac:dyDescent="0.35">
      <c r="A9" s="5" t="s">
        <v>7</v>
      </c>
    </row>
    <row r="10" spans="1:2" x14ac:dyDescent="0.35">
      <c r="A10" s="14" t="s">
        <v>8</v>
      </c>
      <c r="B10" s="14"/>
    </row>
    <row r="11" spans="1:2" x14ac:dyDescent="0.35">
      <c r="A11" s="14"/>
      <c r="B11" s="14"/>
    </row>
    <row r="12" spans="1:2" x14ac:dyDescent="0.35">
      <c r="A12" s="14"/>
      <c r="B12" s="14"/>
    </row>
    <row r="13" spans="1:2" x14ac:dyDescent="0.35">
      <c r="A13" s="14"/>
      <c r="B13" s="14"/>
    </row>
  </sheetData>
  <mergeCells count="3">
    <mergeCell ref="A1:B1"/>
    <mergeCell ref="A2:B2"/>
    <mergeCell ref="A10:B1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>
      <pane ySplit="3" topLeftCell="A4" activePane="bottomLeft" state="frozen"/>
      <selection pane="bottomLeft" sqref="A1:D1"/>
    </sheetView>
  </sheetViews>
  <sheetFormatPr defaultRowHeight="14.5" x14ac:dyDescent="0.35"/>
  <cols>
    <col min="1" max="1" width="10" customWidth="1"/>
    <col min="2" max="2" width="18" customWidth="1"/>
    <col min="3" max="4" width="14" customWidth="1"/>
  </cols>
  <sheetData>
    <row r="1" spans="1:4" ht="18" x14ac:dyDescent="0.4">
      <c r="A1" s="12" t="s">
        <v>9</v>
      </c>
      <c r="B1" s="12"/>
      <c r="C1" s="12"/>
      <c r="D1" s="12"/>
    </row>
    <row r="3" spans="1:4" x14ac:dyDescent="0.35">
      <c r="A3" s="1" t="s">
        <v>10</v>
      </c>
      <c r="B3" s="1" t="s">
        <v>11</v>
      </c>
      <c r="C3" s="1" t="s">
        <v>12</v>
      </c>
      <c r="D3" s="1" t="s">
        <v>13</v>
      </c>
    </row>
    <row r="4" spans="1:4" x14ac:dyDescent="0.35">
      <c r="A4" s="6" t="s">
        <v>14</v>
      </c>
      <c r="B4" s="3">
        <v>50557.65</v>
      </c>
      <c r="C4" s="4">
        <v>902</v>
      </c>
      <c r="D4" s="4">
        <v>2462</v>
      </c>
    </row>
    <row r="5" spans="1:4" x14ac:dyDescent="0.35">
      <c r="A5" s="6" t="s">
        <v>15</v>
      </c>
      <c r="B5" s="3">
        <v>51421.25</v>
      </c>
      <c r="C5" s="4">
        <v>956</v>
      </c>
      <c r="D5" s="4">
        <v>2373</v>
      </c>
    </row>
    <row r="6" spans="1:4" x14ac:dyDescent="0.35">
      <c r="A6" s="6" t="s">
        <v>16</v>
      </c>
      <c r="B6" s="3">
        <v>64846.46</v>
      </c>
      <c r="C6" s="4">
        <v>1078</v>
      </c>
      <c r="D6" s="4">
        <v>2736</v>
      </c>
    </row>
    <row r="7" spans="1:4" x14ac:dyDescent="0.35">
      <c r="A7" s="6" t="s">
        <v>17</v>
      </c>
      <c r="B7" s="3">
        <v>105028.92</v>
      </c>
      <c r="C7" s="4">
        <v>1715</v>
      </c>
      <c r="D7" s="4">
        <v>4406</v>
      </c>
    </row>
    <row r="8" spans="1:4" x14ac:dyDescent="0.35">
      <c r="A8" s="6" t="s">
        <v>18</v>
      </c>
      <c r="B8" s="3">
        <v>138414.42000000001</v>
      </c>
      <c r="C8" s="4">
        <v>2023</v>
      </c>
      <c r="D8" s="4">
        <v>5513</v>
      </c>
    </row>
    <row r="9" spans="1:4" x14ac:dyDescent="0.35">
      <c r="A9" s="6" t="s">
        <v>19</v>
      </c>
      <c r="B9" s="3">
        <v>206461.26</v>
      </c>
      <c r="C9" s="4">
        <v>2662</v>
      </c>
      <c r="D9" s="4">
        <v>7124</v>
      </c>
    </row>
    <row r="10" spans="1:4" x14ac:dyDescent="0.35">
      <c r="A10" s="6" t="s">
        <v>20</v>
      </c>
      <c r="B10" s="3">
        <v>242044.09</v>
      </c>
      <c r="C10" s="4">
        <v>3407</v>
      </c>
      <c r="D10" s="4">
        <v>8491</v>
      </c>
    </row>
    <row r="11" spans="1:4" x14ac:dyDescent="0.35">
      <c r="A11" s="6" t="s">
        <v>21</v>
      </c>
      <c r="B11" s="3">
        <v>323156.53000000003</v>
      </c>
      <c r="C11" s="4">
        <v>4365</v>
      </c>
      <c r="D11" s="4">
        <v>11275</v>
      </c>
    </row>
    <row r="12" spans="1:4" x14ac:dyDescent="0.35">
      <c r="A12" s="6" t="s">
        <v>22</v>
      </c>
      <c r="B12" s="3">
        <v>291421.46000000002</v>
      </c>
      <c r="C12" s="4">
        <v>4157</v>
      </c>
      <c r="D12" s="4">
        <v>10713</v>
      </c>
    </row>
    <row r="13" spans="1:4" x14ac:dyDescent="0.35">
      <c r="A13" s="6" t="s">
        <v>23</v>
      </c>
      <c r="B13" s="3">
        <v>398557.8</v>
      </c>
      <c r="C13" s="4">
        <v>5577</v>
      </c>
      <c r="D13" s="4">
        <v>14628</v>
      </c>
    </row>
    <row r="14" spans="1:4" x14ac:dyDescent="0.35">
      <c r="A14" s="6" t="s">
        <v>24</v>
      </c>
      <c r="B14" s="3">
        <v>430199.12</v>
      </c>
      <c r="C14" s="4">
        <v>6739</v>
      </c>
      <c r="D14" s="4">
        <v>18651</v>
      </c>
    </row>
    <row r="15" spans="1:4" x14ac:dyDescent="0.35">
      <c r="A15" s="6" t="s">
        <v>25</v>
      </c>
      <c r="B15" s="3">
        <v>367909.06</v>
      </c>
      <c r="C15" s="4">
        <v>5854</v>
      </c>
      <c r="D15" s="4">
        <v>16061</v>
      </c>
    </row>
    <row r="16" spans="1:4" x14ac:dyDescent="0.35">
      <c r="A16" s="7" t="s">
        <v>26</v>
      </c>
      <c r="B16" s="8">
        <f>SUM(B4:B15)</f>
        <v>2670018.02</v>
      </c>
      <c r="C16" s="9">
        <f>SUM(C4:C15)</f>
        <v>39435</v>
      </c>
      <c r="D16" s="9">
        <f>SUM(D4:D15)</f>
        <v>104433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>
      <pane ySplit="3" topLeftCell="A4" activePane="bottomLeft" state="frozen"/>
      <selection pane="bottomLeft" sqref="A1:D1"/>
    </sheetView>
  </sheetViews>
  <sheetFormatPr defaultRowHeight="14.5" x14ac:dyDescent="0.35"/>
  <cols>
    <col min="1" max="2" width="18" customWidth="1"/>
    <col min="3" max="4" width="14" customWidth="1"/>
  </cols>
  <sheetData>
    <row r="1" spans="1:4" ht="18" x14ac:dyDescent="0.4">
      <c r="A1" s="12" t="s">
        <v>27</v>
      </c>
      <c r="B1" s="12"/>
      <c r="C1" s="12"/>
      <c r="D1" s="12"/>
    </row>
    <row r="3" spans="1:4" x14ac:dyDescent="0.35">
      <c r="A3" s="1" t="s">
        <v>28</v>
      </c>
      <c r="B3" s="1" t="s">
        <v>11</v>
      </c>
      <c r="C3" s="1" t="s">
        <v>12</v>
      </c>
      <c r="D3" s="1" t="s">
        <v>13</v>
      </c>
    </row>
    <row r="4" spans="1:4" x14ac:dyDescent="0.35">
      <c r="A4" s="6" t="s">
        <v>29</v>
      </c>
      <c r="B4" s="3">
        <v>2250144.63</v>
      </c>
      <c r="C4" s="4">
        <v>32958</v>
      </c>
      <c r="D4" s="4">
        <v>88136</v>
      </c>
    </row>
    <row r="5" spans="1:4" x14ac:dyDescent="0.35">
      <c r="A5" s="6" t="s">
        <v>30</v>
      </c>
      <c r="B5" s="3">
        <v>176191.54</v>
      </c>
      <c r="C5" s="4">
        <v>2321</v>
      </c>
      <c r="D5" s="4">
        <v>6488</v>
      </c>
    </row>
    <row r="6" spans="1:4" x14ac:dyDescent="0.35">
      <c r="A6" s="6" t="s">
        <v>31</v>
      </c>
      <c r="B6" s="3">
        <v>51143.73</v>
      </c>
      <c r="C6" s="4">
        <v>987</v>
      </c>
      <c r="D6" s="4">
        <v>1996</v>
      </c>
    </row>
    <row r="7" spans="1:4" x14ac:dyDescent="0.35">
      <c r="A7" s="6" t="s">
        <v>32</v>
      </c>
      <c r="B7" s="3">
        <v>40004.75</v>
      </c>
      <c r="C7" s="4">
        <v>592</v>
      </c>
      <c r="D7" s="4">
        <v>1528</v>
      </c>
    </row>
    <row r="8" spans="1:4" x14ac:dyDescent="0.35">
      <c r="A8" s="6" t="s">
        <v>33</v>
      </c>
      <c r="B8" s="3">
        <v>34999.199999999997</v>
      </c>
      <c r="C8" s="4">
        <v>492</v>
      </c>
      <c r="D8" s="4">
        <v>1080</v>
      </c>
    </row>
    <row r="9" spans="1:4" x14ac:dyDescent="0.35">
      <c r="A9" s="6" t="s">
        <v>34</v>
      </c>
      <c r="B9" s="3">
        <v>33533.74</v>
      </c>
      <c r="C9" s="4">
        <v>752</v>
      </c>
      <c r="D9" s="4">
        <v>2317</v>
      </c>
    </row>
    <row r="10" spans="1:4" x14ac:dyDescent="0.35">
      <c r="A10" s="6" t="s">
        <v>35</v>
      </c>
      <c r="B10" s="3">
        <v>32740.52</v>
      </c>
      <c r="C10" s="4">
        <v>203</v>
      </c>
      <c r="D10" s="4">
        <v>494</v>
      </c>
    </row>
    <row r="11" spans="1:4" x14ac:dyDescent="0.35">
      <c r="A11" s="6" t="s">
        <v>36</v>
      </c>
      <c r="B11" s="3">
        <v>20994.98</v>
      </c>
      <c r="C11" s="4">
        <v>395</v>
      </c>
      <c r="D11" s="4">
        <v>936</v>
      </c>
    </row>
    <row r="12" spans="1:4" x14ac:dyDescent="0.35">
      <c r="A12" s="6" t="s">
        <v>37</v>
      </c>
      <c r="B12" s="3">
        <v>12693.46</v>
      </c>
      <c r="C12" s="4">
        <v>294</v>
      </c>
      <c r="D12" s="4">
        <v>699</v>
      </c>
    </row>
    <row r="13" spans="1:4" x14ac:dyDescent="0.35">
      <c r="A13" s="6" t="s">
        <v>38</v>
      </c>
      <c r="B13" s="3">
        <v>11672.21</v>
      </c>
      <c r="C13" s="4">
        <v>311</v>
      </c>
      <c r="D13" s="4">
        <v>479</v>
      </c>
    </row>
    <row r="14" spans="1:4" x14ac:dyDescent="0.35">
      <c r="A14" s="6" t="s">
        <v>39</v>
      </c>
      <c r="B14" s="3">
        <v>5861.68</v>
      </c>
      <c r="C14" s="4">
        <v>125</v>
      </c>
      <c r="D14" s="4">
        <v>273</v>
      </c>
    </row>
    <row r="15" spans="1:4" x14ac:dyDescent="0.35">
      <c r="A15" s="6" t="s">
        <v>40</v>
      </c>
      <c r="B15" s="3">
        <v>37.590000000000003</v>
      </c>
      <c r="C15" s="4">
        <v>5</v>
      </c>
      <c r="D15" s="4">
        <v>7</v>
      </c>
    </row>
    <row r="16" spans="1:4" x14ac:dyDescent="0.35">
      <c r="A16" s="7" t="s">
        <v>26</v>
      </c>
      <c r="B16" s="8">
        <f>SUM(B4:B15)</f>
        <v>2670018.0300000003</v>
      </c>
      <c r="C16" s="9">
        <f>SUM(C4:C15)</f>
        <v>39435</v>
      </c>
      <c r="D16" s="9">
        <f>SUM(D4:D15)</f>
        <v>104433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4"/>
  <sheetViews>
    <sheetView tabSelected="1" workbookViewId="0">
      <pane ySplit="3" topLeftCell="A4" activePane="bottomLeft" state="frozen"/>
      <selection pane="bottomLeft" activeCell="D2" sqref="D1:D1048576"/>
    </sheetView>
  </sheetViews>
  <sheetFormatPr defaultRowHeight="14.5" x14ac:dyDescent="0.35"/>
  <cols>
    <col min="1" max="1" width="32" customWidth="1"/>
    <col min="2" max="3" width="12" customWidth="1"/>
  </cols>
  <sheetData>
    <row r="1" spans="1:3" ht="18" x14ac:dyDescent="0.4">
      <c r="A1" s="12" t="s">
        <v>41</v>
      </c>
      <c r="B1" s="12"/>
      <c r="C1" s="12"/>
    </row>
    <row r="3" spans="1:3" x14ac:dyDescent="0.35">
      <c r="A3" s="1" t="s">
        <v>42</v>
      </c>
      <c r="B3" s="1" t="s">
        <v>13</v>
      </c>
      <c r="C3" s="1" t="s">
        <v>43</v>
      </c>
    </row>
    <row r="4" spans="1:3" x14ac:dyDescent="0.35">
      <c r="A4" s="6" t="s">
        <v>44</v>
      </c>
      <c r="B4" s="4">
        <v>22371</v>
      </c>
      <c r="C4" s="10">
        <f t="shared" ref="C4:C19" si="0">B4/SUM($B$4:$B$19)</f>
        <v>0.21421389790583437</v>
      </c>
    </row>
    <row r="5" spans="1:3" x14ac:dyDescent="0.35">
      <c r="A5" s="6" t="s">
        <v>45</v>
      </c>
      <c r="B5" s="4">
        <v>21894</v>
      </c>
      <c r="C5" s="10">
        <f t="shared" si="0"/>
        <v>0.20964637614547127</v>
      </c>
    </row>
    <row r="6" spans="1:3" x14ac:dyDescent="0.35">
      <c r="A6" s="6" t="s">
        <v>46</v>
      </c>
      <c r="B6" s="4">
        <v>18109</v>
      </c>
      <c r="C6" s="10">
        <f t="shared" si="0"/>
        <v>0.17340304309940344</v>
      </c>
    </row>
    <row r="7" spans="1:3" x14ac:dyDescent="0.35">
      <c r="A7" s="6" t="s">
        <v>47</v>
      </c>
      <c r="B7" s="4">
        <v>16553</v>
      </c>
      <c r="C7" s="10">
        <f t="shared" si="0"/>
        <v>0.15850353815364876</v>
      </c>
    </row>
    <row r="8" spans="1:3" x14ac:dyDescent="0.35">
      <c r="A8" s="6" t="s">
        <v>48</v>
      </c>
      <c r="B8" s="4">
        <v>6204</v>
      </c>
      <c r="C8" s="10">
        <f t="shared" si="0"/>
        <v>5.940650943667232E-2</v>
      </c>
    </row>
    <row r="9" spans="1:3" x14ac:dyDescent="0.35">
      <c r="A9" s="6" t="s">
        <v>49</v>
      </c>
      <c r="B9" s="4">
        <v>5102</v>
      </c>
      <c r="C9" s="10">
        <f t="shared" si="0"/>
        <v>4.8854289352982298E-2</v>
      </c>
    </row>
    <row r="10" spans="1:3" x14ac:dyDescent="0.35">
      <c r="A10" s="6" t="s">
        <v>50</v>
      </c>
      <c r="B10" s="4">
        <v>3085</v>
      </c>
      <c r="C10" s="10">
        <f t="shared" si="0"/>
        <v>2.9540470923941665E-2</v>
      </c>
    </row>
    <row r="11" spans="1:3" x14ac:dyDescent="0.35">
      <c r="A11" s="6" t="s">
        <v>51</v>
      </c>
      <c r="B11" s="4">
        <v>3040</v>
      </c>
      <c r="C11" s="10">
        <f t="shared" si="0"/>
        <v>2.9109572644662129E-2</v>
      </c>
    </row>
    <row r="12" spans="1:3" x14ac:dyDescent="0.35">
      <c r="A12" s="6" t="s">
        <v>52</v>
      </c>
      <c r="B12" s="4">
        <v>2384</v>
      </c>
      <c r="C12" s="10">
        <f t="shared" si="0"/>
        <v>2.2828033284498193E-2</v>
      </c>
    </row>
    <row r="13" spans="1:3" x14ac:dyDescent="0.35">
      <c r="A13" s="6" t="s">
        <v>53</v>
      </c>
      <c r="B13" s="4">
        <v>1915</v>
      </c>
      <c r="C13" s="10">
        <f t="shared" si="0"/>
        <v>1.8337115662673677E-2</v>
      </c>
    </row>
    <row r="14" spans="1:3" x14ac:dyDescent="0.35">
      <c r="A14" s="6" t="s">
        <v>54</v>
      </c>
      <c r="B14" s="4">
        <v>1570</v>
      </c>
      <c r="C14" s="10">
        <f t="shared" si="0"/>
        <v>1.5033562188197217E-2</v>
      </c>
    </row>
    <row r="15" spans="1:3" x14ac:dyDescent="0.35">
      <c r="A15" s="6" t="s">
        <v>55</v>
      </c>
      <c r="B15" s="4">
        <v>921</v>
      </c>
      <c r="C15" s="10">
        <f t="shared" si="0"/>
        <v>8.8190514492545464E-3</v>
      </c>
    </row>
    <row r="16" spans="1:3" x14ac:dyDescent="0.35">
      <c r="A16" s="6" t="s">
        <v>56</v>
      </c>
      <c r="B16" s="4">
        <v>570</v>
      </c>
      <c r="C16" s="10">
        <f t="shared" si="0"/>
        <v>5.4580448708741493E-3</v>
      </c>
    </row>
    <row r="17" spans="1:3" x14ac:dyDescent="0.35">
      <c r="A17" s="6" t="s">
        <v>57</v>
      </c>
      <c r="B17" s="4">
        <v>400</v>
      </c>
      <c r="C17" s="10">
        <f t="shared" si="0"/>
        <v>3.8302069269292274E-3</v>
      </c>
    </row>
    <row r="18" spans="1:3" x14ac:dyDescent="0.35">
      <c r="A18" s="6" t="s">
        <v>58</v>
      </c>
      <c r="B18" s="4">
        <v>265</v>
      </c>
      <c r="C18" s="10">
        <f t="shared" si="0"/>
        <v>2.5375120890906129E-3</v>
      </c>
    </row>
    <row r="19" spans="1:3" x14ac:dyDescent="0.35">
      <c r="A19" s="6" t="s">
        <v>59</v>
      </c>
      <c r="B19" s="4">
        <v>50</v>
      </c>
      <c r="C19" s="10">
        <f t="shared" si="0"/>
        <v>4.7877586586615343E-4</v>
      </c>
    </row>
    <row r="20" spans="1:3" x14ac:dyDescent="0.35">
      <c r="A20" s="7" t="s">
        <v>26</v>
      </c>
      <c r="B20" s="9">
        <f>SUM(B4:B19)</f>
        <v>104433</v>
      </c>
      <c r="C20" s="11">
        <f>SUM(C4:C19)</f>
        <v>1.0000000000000002</v>
      </c>
    </row>
    <row r="22" spans="1:3" x14ac:dyDescent="0.35">
      <c r="A22" s="14" t="s">
        <v>60</v>
      </c>
      <c r="B22" s="14"/>
      <c r="C22" s="14"/>
    </row>
    <row r="23" spans="1:3" x14ac:dyDescent="0.35">
      <c r="A23" s="14"/>
      <c r="B23" s="14"/>
      <c r="C23" s="14"/>
    </row>
    <row r="24" spans="1:3" x14ac:dyDescent="0.35">
      <c r="A24" s="14"/>
      <c r="B24" s="14"/>
      <c r="C24" s="14"/>
    </row>
  </sheetData>
  <mergeCells count="2">
    <mergeCell ref="A1:C1"/>
    <mergeCell ref="A22:C2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Resumo 2024</vt:lpstr>
      <vt:lpstr>Por Mes</vt:lpstr>
      <vt:lpstr>Por Bandeira</vt:lpstr>
      <vt:lpstr>Unidades por Departamento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2026-09-17T19:31:07Z</dcterms:created>
  <dcterms:modified xsi:type="dcterms:W3CDTF">2026-09-17T19:39:35Z</dcterms:modified>
  <cp:category/>
</cp:coreProperties>
</file>