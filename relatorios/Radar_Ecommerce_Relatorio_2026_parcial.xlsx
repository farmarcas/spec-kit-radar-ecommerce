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2026 (parcial)" state="visible" r:id="rId4"/>
    <sheet sheetId="2" name="Por Mes" state="visible" r:id="rId5"/>
    <sheet sheetId="3" name="Por Bandeira" state="visible" r:id="rId6"/>
    <sheet sheetId="4" name="Unidades por Departamento" state="visible" r:id="rId7"/>
  </sheets>
  <calcPr calcId="171027"/>
</workbook>
</file>

<file path=xl/sharedStrings.xml><?xml version="1.0" encoding="utf-8"?>
<sst xmlns="http://schemas.openxmlformats.org/spreadsheetml/2006/main" count="65" uniqueCount="59">
  <si>
    <t>Radar E-commerce - Resumo 2026 (parcial)</t>
  </si>
  <si>
    <t>Pedidos concluidos (Delivered/Withdrawn) - 01/01 a 16/09/2026 - gerado em 2026-09-17</t>
  </si>
  <si>
    <t>Metrica</t>
  </si>
  <si>
    <t>Valor</t>
  </si>
  <si>
    <t>Faturamento total</t>
  </si>
  <si>
    <t>Pedidos concluidos</t>
  </si>
  <si>
    <t>Unidades vendidas</t>
  </si>
  <si>
    <t>Notas / metodologia:</t>
  </si>
  <si>
    <t>Fonte: MongoDB edelivery_order.order_data (conexao Radar). Pedido concluido = status 'Delivered'/'Withdrawn', data de referencia = finished.triggeredAt (fuso America/Sao_Paulo). Faturamento = soma de unitPrice x amount dos itens (sem frete). Query oficial do indicador 'Vendas' do Portal, incluindo o filtro $expr: finished.previusStatus != status (exclui pedidos com evento 'finished' duplicado/sem mudanca real de status). Bandeira = pharmacy.pharmacyNetworkIdStr, nomeada via Postgres edelivery_pharmacy.pharmacy_network. Departamento = eAN do item cruzado com CatalogueDb.products.CodigoBarras -&gt; ProdutoDepartamentoId -&gt; CatalogueDb.products_departmenties.</t>
  </si>
  <si>
    <t>Radar E-commerce - Por Mes (2026 (parcial))</t>
  </si>
  <si>
    <t>Mes</t>
  </si>
  <si>
    <t>Faturamento</t>
  </si>
  <si>
    <t>Pedidos</t>
  </si>
  <si>
    <t>Unidades</t>
  </si>
  <si>
    <t>Jan</t>
  </si>
  <si>
    <t>Fev</t>
  </si>
  <si>
    <t>Mar</t>
  </si>
  <si>
    <t>Abr</t>
  </si>
  <si>
    <t>Mai</t>
  </si>
  <si>
    <t>Jun</t>
  </si>
  <si>
    <t>Jul</t>
  </si>
  <si>
    <t>Ago</t>
  </si>
  <si>
    <t>Set (1-16)</t>
  </si>
  <si>
    <t>Total</t>
  </si>
  <si>
    <t>Radar E-commerce - Por Bandeira/Rede (2026 (parcial))</t>
  </si>
  <si>
    <t>Rede / Bandeira</t>
  </si>
  <si>
    <t>ULTRA POPULAR</t>
  </si>
  <si>
    <t>MAXI POPULAR</t>
  </si>
  <si>
    <t>ENTREFARMA</t>
  </si>
  <si>
    <t>BIGFORT</t>
  </si>
  <si>
    <t>ACFARMA</t>
  </si>
  <si>
    <t>SUPER POPULAR</t>
  </si>
  <si>
    <t>MAIS FARMA</t>
  </si>
  <si>
    <t>MAESTRA</t>
  </si>
  <si>
    <t>MEGA POPULAR</t>
  </si>
  <si>
    <t>FARMA 100</t>
  </si>
  <si>
    <t>MEGA PHARMA</t>
  </si>
  <si>
    <t>FARMAVALE</t>
  </si>
  <si>
    <t>Radar E-commerce - Unidades vendidas por Departamento (2026 (parcial))</t>
  </si>
  <si>
    <t>Departamento</t>
  </si>
  <si>
    <t>% do total</t>
  </si>
  <si>
    <t>% acumulado</t>
  </si>
  <si>
    <t>Medicamentos</t>
  </si>
  <si>
    <t>Higiene e beleza</t>
  </si>
  <si>
    <t>Farmacinha</t>
  </si>
  <si>
    <t>Mamae e Bebe</t>
  </si>
  <si>
    <t>Cuidados pessoais</t>
  </si>
  <si>
    <t>Infantil</t>
  </si>
  <si>
    <t>Suplementos Alimentares</t>
  </si>
  <si>
    <t>Nutricao e alimentos</t>
  </si>
  <si>
    <t>Conveniencia</t>
  </si>
  <si>
    <t>Dermocosmeticos</t>
  </si>
  <si>
    <t>Cosmeticos</t>
  </si>
  <si>
    <t>Saude Sexual</t>
  </si>
  <si>
    <t>Cuidados Masculinos</t>
  </si>
  <si>
    <t>Sem departamento cadastrado</t>
  </si>
  <si>
    <t>Outros (legado)</t>
  </si>
  <si>
    <t/>
  </si>
  <si>
    <t>Departamento identificado via CatalogueDb.products (EAN=CodigoBarras) -&gt; ProdutoDepartamentoId. 'Higiene e beleza' e 'Medicamentos' aparecem como inativos no cadastro atual do catalogo, mas ainda concentram grande parte dos produtos vendidos (ids legados ainda referenciados).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</si>
</sst>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7" x14ac:knownFonts="1">
    <font>
      <color theme="1"/>
      <family val="2"/>
      <scheme val="minor"/>
      <sz val="11"/>
      <name val="Calibri"/>
    </font>
    <font>
      <b/>
      <color rgb="FF1F4E78"/>
      <sz val="14"/>
      <name val="Arial"/>
    </font>
    <font>
      <i/>
      <color rgb="FF666666"/>
      <sz val="9"/>
      <name val="Arial"/>
    </font>
    <font>
      <b/>
      <color rgb="FFFFFFFF"/>
      <sz val="11"/>
      <name val="Arial"/>
    </font>
    <font>
      <b/>
      <name val="Arial"/>
    </font>
    <font>
      <name val="Arial"/>
    </font>
    <font>
      <i/>
      <color rgb="FF808080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64" fontId="5" fillId="0" borderId="1" xfId="0" applyNumberFormat="1" applyFont="1" applyBorder="1"/>
    <xf numFmtId="3" fontId="5" fillId="0" borderId="1" xfId="0" applyNumberFormat="1" applyFont="1" applyBorder="1"/>
    <xf numFmtId="0" fontId="4" fillId="0" borderId="0" xfId="0" applyFont="1"/>
    <xf numFmtId="0" fontId="6" fillId="0" borderId="0" xfId="0" applyFont="1" applyAlignment="1">
      <alignment vertical="top" wrapText="1"/>
    </xf>
    <xf numFmtId="0" fontId="5" fillId="0" borderId="1" xfId="0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3" fontId="4" fillId="3" borderId="1" xfId="0" applyNumberFormat="1" applyFont="1" applyFill="1" applyBorder="1"/>
    <xf numFmtId="10" fontId="5" fillId="0" borderId="1" xfId="0" applyNumberFormat="1" applyFont="1" applyBorder="1"/>
    <xf numFmtId="10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5">
        <f>'Por Mes'!B13</f>
      </c>
    </row>
    <row r="6" spans="1:2" x14ac:dyDescent="0.25">
      <c r="A6" s="4" t="s">
        <v>5</v>
      </c>
      <c r="B6" s="6">
        <f>'Por Mes'!C13</f>
      </c>
    </row>
    <row r="7" spans="1:2" x14ac:dyDescent="0.25">
      <c r="A7" s="4" t="s">
        <v>6</v>
      </c>
      <c r="B7" s="6">
        <f>'Por Mes'!D13</f>
      </c>
    </row>
    <row r="9" spans="1:1" x14ac:dyDescent="0.25">
      <c r="A9" s="7" t="s">
        <v>7</v>
      </c>
    </row>
    <row r="10" spans="1:2" x14ac:dyDescent="0.25">
      <c r="A10" s="8" t="s">
        <v>8</v>
      </c>
      <c r="B10" s="8"/>
    </row>
    <row r="11" spans="1:2" x14ac:dyDescent="0.25">
      <c r="A11" s="8"/>
      <c r="B11" s="8"/>
    </row>
    <row r="12" spans="1:2" x14ac:dyDescent="0.25">
      <c r="A12" s="8"/>
      <c r="B12" s="8"/>
    </row>
    <row r="13" spans="1:2" x14ac:dyDescent="0.25">
      <c r="A13" s="8"/>
      <c r="B13" s="8"/>
    </row>
  </sheetData>
  <mergeCells count="3">
    <mergeCell ref="A1:B1"/>
    <mergeCell ref="A2:B2"/>
    <mergeCell ref="A10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4" width="14" customWidth="1"/>
  </cols>
  <sheetData>
    <row r="1" spans="1:4" x14ac:dyDescent="0.25">
      <c r="A1" s="1" t="s">
        <v>9</v>
      </c>
      <c r="B1" s="1"/>
      <c r="C1" s="1"/>
      <c r="D1" s="1"/>
    </row>
    <row r="3" spans="1:4" x14ac:dyDescent="0.25">
      <c r="A3" s="3" t="s">
        <v>10</v>
      </c>
      <c r="B3" s="3" t="s">
        <v>11</v>
      </c>
      <c r="C3" s="3" t="s">
        <v>12</v>
      </c>
      <c r="D3" s="3" t="s">
        <v>13</v>
      </c>
    </row>
    <row r="4" spans="1:4" x14ac:dyDescent="0.25">
      <c r="A4" s="9" t="s">
        <v>14</v>
      </c>
      <c r="B4" s="5">
        <v>344146.76</v>
      </c>
      <c r="C4" s="6">
        <v>5086</v>
      </c>
      <c r="D4" s="6">
        <v>13342</v>
      </c>
    </row>
    <row r="5" spans="1:4" x14ac:dyDescent="0.25">
      <c r="A5" s="9" t="s">
        <v>15</v>
      </c>
      <c r="B5" s="5">
        <v>324168.13</v>
      </c>
      <c r="C5" s="6">
        <v>4887</v>
      </c>
      <c r="D5" s="6">
        <v>13473</v>
      </c>
    </row>
    <row r="6" spans="1:4" x14ac:dyDescent="0.25">
      <c r="A6" s="9" t="s">
        <v>16</v>
      </c>
      <c r="B6" s="5">
        <v>318312.11</v>
      </c>
      <c r="C6" s="6">
        <v>4708</v>
      </c>
      <c r="D6" s="6">
        <v>12584</v>
      </c>
    </row>
    <row r="7" spans="1:4" x14ac:dyDescent="0.25">
      <c r="A7" s="9" t="s">
        <v>17</v>
      </c>
      <c r="B7" s="5">
        <v>238341.76</v>
      </c>
      <c r="C7" s="6">
        <v>3507</v>
      </c>
      <c r="D7" s="6">
        <v>9075</v>
      </c>
    </row>
    <row r="8" spans="1:4" x14ac:dyDescent="0.25">
      <c r="A8" s="9" t="s">
        <v>18</v>
      </c>
      <c r="B8" s="5">
        <v>288302.54</v>
      </c>
      <c r="C8" s="6">
        <v>4095</v>
      </c>
      <c r="D8" s="6">
        <v>10324</v>
      </c>
    </row>
    <row r="9" spans="1:4" x14ac:dyDescent="0.25">
      <c r="A9" s="9" t="s">
        <v>19</v>
      </c>
      <c r="B9" s="5">
        <v>298447.67</v>
      </c>
      <c r="C9" s="6">
        <v>4447</v>
      </c>
      <c r="D9" s="6">
        <v>11431</v>
      </c>
    </row>
    <row r="10" spans="1:4" x14ac:dyDescent="0.25">
      <c r="A10" s="9" t="s">
        <v>20</v>
      </c>
      <c r="B10" s="5">
        <v>382924</v>
      </c>
      <c r="C10" s="6">
        <v>5733</v>
      </c>
      <c r="D10" s="6">
        <v>14836</v>
      </c>
    </row>
    <row r="11" spans="1:4" x14ac:dyDescent="0.25">
      <c r="A11" s="9" t="s">
        <v>21</v>
      </c>
      <c r="B11" s="5">
        <v>469081.71</v>
      </c>
      <c r="C11" s="6">
        <v>6675</v>
      </c>
      <c r="D11" s="6">
        <v>16916</v>
      </c>
    </row>
    <row r="12" spans="1:4" x14ac:dyDescent="0.25">
      <c r="A12" s="9" t="s">
        <v>22</v>
      </c>
      <c r="B12" s="5">
        <v>255130.36</v>
      </c>
      <c r="C12" s="6">
        <v>3519</v>
      </c>
      <c r="D12" s="6">
        <v>8770</v>
      </c>
    </row>
    <row r="13" spans="1:4" x14ac:dyDescent="0.25">
      <c r="A13" s="10" t="s">
        <v>23</v>
      </c>
      <c r="B13" s="11">
        <f>SUM(B4:B12)</f>
      </c>
      <c r="C13" s="12">
        <f>SUM(C4:C12)</f>
      </c>
      <c r="D13" s="12">
        <f>SUM(D4:D12)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4" width="14" customWidth="1"/>
  </cols>
  <sheetData>
    <row r="1" spans="1:4" x14ac:dyDescent="0.25">
      <c r="A1" s="1" t="s">
        <v>24</v>
      </c>
      <c r="B1" s="1"/>
      <c r="C1" s="1"/>
      <c r="D1" s="1"/>
    </row>
    <row r="3" spans="1:4" x14ac:dyDescent="0.25">
      <c r="A3" s="3" t="s">
        <v>25</v>
      </c>
      <c r="B3" s="3" t="s">
        <v>11</v>
      </c>
      <c r="C3" s="3" t="s">
        <v>12</v>
      </c>
      <c r="D3" s="3" t="s">
        <v>13</v>
      </c>
    </row>
    <row r="4" spans="1:4" x14ac:dyDescent="0.25">
      <c r="A4" s="9" t="s">
        <v>26</v>
      </c>
      <c r="B4" s="5">
        <v>1999993.46</v>
      </c>
      <c r="C4" s="6">
        <v>28364</v>
      </c>
      <c r="D4" s="6">
        <v>74306</v>
      </c>
    </row>
    <row r="5" spans="1:4" x14ac:dyDescent="0.25">
      <c r="A5" s="9" t="s">
        <v>27</v>
      </c>
      <c r="B5" s="5">
        <v>689854.21</v>
      </c>
      <c r="C5" s="6">
        <v>10304</v>
      </c>
      <c r="D5" s="6">
        <v>26626</v>
      </c>
    </row>
    <row r="6" spans="1:4" x14ac:dyDescent="0.25">
      <c r="A6" s="9" t="s">
        <v>28</v>
      </c>
      <c r="B6" s="5">
        <v>61572.16</v>
      </c>
      <c r="C6" s="6">
        <v>930</v>
      </c>
      <c r="D6" s="6">
        <v>2399</v>
      </c>
    </row>
    <row r="7" spans="1:4" x14ac:dyDescent="0.25">
      <c r="A7" s="9" t="s">
        <v>29</v>
      </c>
      <c r="B7" s="5">
        <v>55630.65</v>
      </c>
      <c r="C7" s="6">
        <v>1098</v>
      </c>
      <c r="D7" s="6">
        <v>2683</v>
      </c>
    </row>
    <row r="8" spans="1:4" x14ac:dyDescent="0.25">
      <c r="A8" s="9" t="s">
        <v>30</v>
      </c>
      <c r="B8" s="5">
        <v>27012.77</v>
      </c>
      <c r="C8" s="6">
        <v>381</v>
      </c>
      <c r="D8" s="6">
        <v>856</v>
      </c>
    </row>
    <row r="9" spans="1:4" x14ac:dyDescent="0.25">
      <c r="A9" s="9" t="s">
        <v>31</v>
      </c>
      <c r="B9" s="5">
        <v>24295.46</v>
      </c>
      <c r="C9" s="6">
        <v>509</v>
      </c>
      <c r="D9" s="6">
        <v>1115</v>
      </c>
    </row>
    <row r="10" spans="1:4" x14ac:dyDescent="0.25">
      <c r="A10" s="9" t="s">
        <v>32</v>
      </c>
      <c r="B10" s="5">
        <v>16776.04</v>
      </c>
      <c r="C10" s="6">
        <v>362</v>
      </c>
      <c r="D10" s="6">
        <v>1061</v>
      </c>
    </row>
    <row r="11" spans="1:4" x14ac:dyDescent="0.25">
      <c r="A11" s="9" t="s">
        <v>33</v>
      </c>
      <c r="B11" s="5">
        <v>13825.7</v>
      </c>
      <c r="C11" s="6">
        <v>144</v>
      </c>
      <c r="D11" s="6">
        <v>436</v>
      </c>
    </row>
    <row r="12" spans="1:4" x14ac:dyDescent="0.25">
      <c r="A12" s="9" t="s">
        <v>34</v>
      </c>
      <c r="B12" s="5">
        <v>12171.11</v>
      </c>
      <c r="C12" s="6">
        <v>188</v>
      </c>
      <c r="D12" s="6">
        <v>487</v>
      </c>
    </row>
    <row r="13" spans="1:4" x14ac:dyDescent="0.25">
      <c r="A13" s="9" t="s">
        <v>35</v>
      </c>
      <c r="B13" s="5">
        <v>7886.18</v>
      </c>
      <c r="C13" s="6">
        <v>182</v>
      </c>
      <c r="D13" s="6">
        <v>446</v>
      </c>
    </row>
    <row r="14" spans="1:4" x14ac:dyDescent="0.25">
      <c r="A14" s="9" t="s">
        <v>36</v>
      </c>
      <c r="B14" s="5">
        <v>6214.27</v>
      </c>
      <c r="C14" s="6">
        <v>102</v>
      </c>
      <c r="D14" s="6">
        <v>177</v>
      </c>
    </row>
    <row r="15" spans="1:4" x14ac:dyDescent="0.25">
      <c r="A15" s="9" t="s">
        <v>37</v>
      </c>
      <c r="B15" s="5">
        <v>3623.03</v>
      </c>
      <c r="C15" s="6">
        <v>93</v>
      </c>
      <c r="D15" s="6">
        <v>159</v>
      </c>
    </row>
    <row r="16" spans="1:4" x14ac:dyDescent="0.25">
      <c r="A16" s="10" t="s">
        <v>23</v>
      </c>
      <c r="B16" s="11">
        <f>SUM(B4:B15)</f>
      </c>
      <c r="C16" s="12">
        <f>SUM(C4:C15)</f>
      </c>
      <c r="D16" s="12">
        <f>SUM(D4:D15)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12" customWidth="1"/>
    <col min="4" max="4" width="14" customWidth="1"/>
  </cols>
  <sheetData>
    <row r="1" spans="1:4" x14ac:dyDescent="0.25">
      <c r="A1" s="1" t="s">
        <v>38</v>
      </c>
      <c r="B1" s="1"/>
      <c r="C1" s="1"/>
      <c r="D1" s="1"/>
    </row>
    <row r="3" spans="1:4" x14ac:dyDescent="0.25">
      <c r="A3" s="3" t="s">
        <v>39</v>
      </c>
      <c r="B3" s="3" t="s">
        <v>13</v>
      </c>
      <c r="C3" s="3" t="s">
        <v>40</v>
      </c>
      <c r="D3" s="3" t="s">
        <v>41</v>
      </c>
    </row>
    <row r="4" spans="1:4" x14ac:dyDescent="0.25">
      <c r="A4" s="9" t="s">
        <v>42</v>
      </c>
      <c r="B4" s="6">
        <v>25452</v>
      </c>
      <c r="C4" s="13">
        <f>B4/SUM($B$4:$B$18)</f>
      </c>
      <c r="D4" s="13">
        <f>SUM($C$4:C4)</f>
      </c>
    </row>
    <row r="5" spans="1:4" x14ac:dyDescent="0.25">
      <c r="A5" s="9" t="s">
        <v>43</v>
      </c>
      <c r="B5" s="6">
        <v>20360</v>
      </c>
      <c r="C5" s="13">
        <f>B5/SUM($B$4:$B$18)</f>
      </c>
      <c r="D5" s="13">
        <f>SUM($C$4:C5)</f>
      </c>
    </row>
    <row r="6" spans="1:4" x14ac:dyDescent="0.25">
      <c r="A6" s="9" t="s">
        <v>44</v>
      </c>
      <c r="B6" s="6">
        <v>19595</v>
      </c>
      <c r="C6" s="13">
        <f>B6/SUM($B$4:$B$18)</f>
      </c>
      <c r="D6" s="13">
        <f>SUM($C$4:C6)</f>
      </c>
    </row>
    <row r="7" spans="1:4" x14ac:dyDescent="0.25">
      <c r="A7" s="9" t="s">
        <v>45</v>
      </c>
      <c r="B7" s="6">
        <v>18267</v>
      </c>
      <c r="C7" s="13">
        <f>B7/SUM($B$4:$B$18)</f>
      </c>
      <c r="D7" s="13">
        <f>SUM($C$4:C7)</f>
      </c>
    </row>
    <row r="8" spans="1:4" x14ac:dyDescent="0.25">
      <c r="A8" s="9" t="s">
        <v>46</v>
      </c>
      <c r="B8" s="6">
        <v>7551</v>
      </c>
      <c r="C8" s="13">
        <f>B8/SUM($B$4:$B$18)</f>
      </c>
      <c r="D8" s="13">
        <f>SUM($C$4:C8)</f>
      </c>
    </row>
    <row r="9" spans="1:4" x14ac:dyDescent="0.25">
      <c r="A9" s="9" t="s">
        <v>47</v>
      </c>
      <c r="B9" s="6">
        <v>5307</v>
      </c>
      <c r="C9" s="13">
        <f>B9/SUM($B$4:$B$18)</f>
      </c>
      <c r="D9" s="13">
        <f>SUM($C$4:C9)</f>
      </c>
    </row>
    <row r="10" spans="1:4" x14ac:dyDescent="0.25">
      <c r="A10" s="9" t="s">
        <v>48</v>
      </c>
      <c r="B10" s="6">
        <v>3416</v>
      </c>
      <c r="C10" s="13">
        <f>B10/SUM($B$4:$B$18)</f>
      </c>
      <c r="D10" s="13">
        <f>SUM($C$4:C10)</f>
      </c>
    </row>
    <row r="11" spans="1:4" x14ac:dyDescent="0.25">
      <c r="A11" s="9" t="s">
        <v>49</v>
      </c>
      <c r="B11" s="6">
        <v>2783</v>
      </c>
      <c r="C11" s="13">
        <f>B11/SUM($B$4:$B$18)</f>
      </c>
      <c r="D11" s="13">
        <f>SUM($C$4:C11)</f>
      </c>
    </row>
    <row r="12" spans="1:4" x14ac:dyDescent="0.25">
      <c r="A12" s="9" t="s">
        <v>50</v>
      </c>
      <c r="B12" s="6">
        <v>2366</v>
      </c>
      <c r="C12" s="13">
        <f>B12/SUM($B$4:$B$18)</f>
      </c>
      <c r="D12" s="13">
        <f>SUM($C$4:C12)</f>
      </c>
    </row>
    <row r="13" spans="1:4" x14ac:dyDescent="0.25">
      <c r="A13" s="9" t="s">
        <v>51</v>
      </c>
      <c r="B13" s="6">
        <v>2245</v>
      </c>
      <c r="C13" s="13">
        <f>B13/SUM($B$4:$B$18)</f>
      </c>
      <c r="D13" s="13">
        <f>SUM($C$4:C13)</f>
      </c>
    </row>
    <row r="14" spans="1:4" x14ac:dyDescent="0.25">
      <c r="A14" s="9" t="s">
        <v>52</v>
      </c>
      <c r="B14" s="6">
        <v>1263</v>
      </c>
      <c r="C14" s="13">
        <f>B14/SUM($B$4:$B$18)</f>
      </c>
      <c r="D14" s="13">
        <f>SUM($C$4:C14)</f>
      </c>
    </row>
    <row r="15" spans="1:4" x14ac:dyDescent="0.25">
      <c r="A15" s="9" t="s">
        <v>53</v>
      </c>
      <c r="B15" s="6">
        <v>848</v>
      </c>
      <c r="C15" s="13">
        <f>B15/SUM($B$4:$B$18)</f>
      </c>
      <c r="D15" s="13">
        <f>SUM($C$4:C15)</f>
      </c>
    </row>
    <row r="16" spans="1:4" x14ac:dyDescent="0.25">
      <c r="A16" s="9" t="s">
        <v>54</v>
      </c>
      <c r="B16" s="6">
        <v>577</v>
      </c>
      <c r="C16" s="13">
        <f>B16/SUM($B$4:$B$18)</f>
      </c>
      <c r="D16" s="13">
        <f>SUM($C$4:C16)</f>
      </c>
    </row>
    <row r="17" spans="1:4" x14ac:dyDescent="0.25">
      <c r="A17" s="9" t="s">
        <v>55</v>
      </c>
      <c r="B17" s="6">
        <v>377</v>
      </c>
      <c r="C17" s="13">
        <f>B17/SUM($B$4:$B$18)</f>
      </c>
      <c r="D17" s="13">
        <f>SUM($C$4:C17)</f>
      </c>
    </row>
    <row r="18" spans="1:4" x14ac:dyDescent="0.25">
      <c r="A18" s="9" t="s">
        <v>56</v>
      </c>
      <c r="B18" s="6">
        <v>344</v>
      </c>
      <c r="C18" s="13">
        <f>B18/SUM($B$4:$B$18)</f>
      </c>
      <c r="D18" s="13">
        <f>SUM($C$4:C18)</f>
      </c>
    </row>
    <row r="19" spans="1:4" x14ac:dyDescent="0.25">
      <c r="A19" s="10" t="s">
        <v>23</v>
      </c>
      <c r="B19" s="12">
        <f>SUM(B4:B18)</f>
      </c>
      <c r="C19" s="14">
        <f>SUM(C4:C18)</f>
      </c>
      <c r="D19" s="14" t="s">
        <v>57</v>
      </c>
    </row>
    <row r="21" spans="1:4" x14ac:dyDescent="0.25">
      <c r="A21" s="8" t="s">
        <v>58</v>
      </c>
      <c r="B21" s="8"/>
      <c r="C21" s="8"/>
      <c r="D21" s="8"/>
    </row>
    <row r="22" spans="1:4" x14ac:dyDescent="0.25">
      <c r="A22" s="8"/>
      <c r="B22" s="8"/>
      <c r="C22" s="8"/>
      <c r="D22" s="8"/>
    </row>
    <row r="23" spans="1:4" x14ac:dyDescent="0.25">
      <c r="A23" s="8"/>
      <c r="B23" s="8"/>
      <c r="C23" s="8"/>
      <c r="D23" s="8"/>
    </row>
  </sheetData>
  <mergeCells count="2">
    <mergeCell ref="A1:D1"/>
    <mergeCell ref="A21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2026 (parcial)</vt:lpstr>
      <vt:lpstr>Por Mes</vt:lpstr>
      <vt:lpstr>Por Bandeira</vt:lpstr>
      <vt:lpstr>Unidades por Departamento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Radar E-commerce BI</dc:creator>
  <dc:title/>
  <dc:subject/>
  <dc:description/>
  <cp:keywords/>
  <cp:category/>
  <cp:lastModifiedBy>Unknown</cp:lastModifiedBy>
  <dcterms:created xsi:type="dcterms:W3CDTF">2026-09-17T19:42:09Z</dcterms:created>
  <dcterms:modified xsi:type="dcterms:W3CDTF">2026-09-17T19:42:09Z</dcterms:modified>
</cp:coreProperties>
</file>